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1993m\Documents\GitHub\Pak128.Nordic\Documentation\"/>
    </mc:Choice>
  </mc:AlternateContent>
  <xr:revisionPtr revIDLastSave="0" documentId="13_ncr:1_{846C3F46-3165-4047-A9ED-82786497E5F9}" xr6:coauthVersionLast="47" xr6:coauthVersionMax="47" xr10:uidLastSave="{00000000-0000-0000-0000-000000000000}"/>
  <bookViews>
    <workbookView xWindow="-120" yWindow="-120" windowWidth="29040" windowHeight="15720" xr2:uid="{49858BB8-57EF-414F-AF35-144E0D53F545}"/>
  </bookViews>
  <sheets>
    <sheet name="Lønstatistik" sheetId="1" r:id="rId1"/>
    <sheet name="Forbrugerprisindeks" sheetId="2" r:id="rId2"/>
    <sheet name="Boligstørrels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 Lq</author>
  </authors>
  <commentList>
    <comment ref="F4" authorId="0" shapeId="0" xr:uid="{4AA6301C-F6E0-49FF-B0EE-7C99D05E0734}">
      <text>
        <r>
          <rPr>
            <b/>
            <sz val="9"/>
            <color indexed="81"/>
            <rFont val="Tahoma"/>
            <family val="2"/>
          </rPr>
          <t>Matias Lq:</t>
        </r>
        <r>
          <rPr>
            <sz val="9"/>
            <color indexed="81"/>
            <rFont val="Tahoma"/>
            <family val="2"/>
          </rPr>
          <t xml:space="preserve">
Fra 580kr om året divideret med 300 arbejdsdage a ti timer. 
(K Dalgaard 1926, s.108-109)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 Lq</author>
  </authors>
  <commentList>
    <comment ref="F1" authorId="0" shapeId="0" xr:uid="{AD79523E-BF93-4635-ACA5-AB77C09FEF0D}">
      <text>
        <r>
          <rPr>
            <b/>
            <sz val="9"/>
            <color indexed="81"/>
            <rFont val="Tahoma"/>
            <family val="2"/>
          </rPr>
          <t>Matias Lq:</t>
        </r>
        <r>
          <rPr>
            <sz val="9"/>
            <color indexed="81"/>
            <rFont val="Tahoma"/>
            <family val="2"/>
          </rPr>
          <t xml:space="preserve">
K Dalgaard "Arbejderklassens økonomiske kår i Danmark ide sidste 50 år" side 158
</t>
        </r>
      </text>
    </comment>
  </commentList>
</comments>
</file>

<file path=xl/sharedStrings.xml><?xml version="1.0" encoding="utf-8"?>
<sst xmlns="http://schemas.openxmlformats.org/spreadsheetml/2006/main" count="57" uniqueCount="45">
  <si>
    <t>Timelønnen for arbejdere 1907-2006</t>
  </si>
  <si>
    <t>Hentet fra Dansk Arbejdsgiverforening</t>
  </si>
  <si>
    <t>Årstal</t>
  </si>
  <si>
    <t>Timeløn</t>
  </si>
  <si>
    <t>Ændring%</t>
  </si>
  <si>
    <t>Korrigeret</t>
  </si>
  <si>
    <t>Daglig arbejdstid</t>
  </si>
  <si>
    <t>Dagsløn</t>
  </si>
  <si>
    <t>Faglært</t>
  </si>
  <si>
    <t>Ufaglært</t>
  </si>
  <si>
    <t>Ugeløn</t>
  </si>
  <si>
    <t>Timeløn guesstimate</t>
  </si>
  <si>
    <t>Timeløn provins</t>
  </si>
  <si>
    <t>Årsløn</t>
  </si>
  <si>
    <t>675 kbh</t>
  </si>
  <si>
    <t>996 kbh</t>
  </si>
  <si>
    <t>580 provins</t>
  </si>
  <si>
    <t>777 kbh</t>
  </si>
  <si>
    <t>756 provins</t>
  </si>
  <si>
    <t>636 provins</t>
  </si>
  <si>
    <t>1061 kbh 845 provins</t>
  </si>
  <si>
    <t>889 kbh 760 provins</t>
  </si>
  <si>
    <t>1180 kbh</t>
  </si>
  <si>
    <t>915 kbh</t>
  </si>
  <si>
    <t>1224 kbh</t>
  </si>
  <si>
    <t>960 kbh</t>
  </si>
  <si>
    <t>1257 kbh 987 provins</t>
  </si>
  <si>
    <t>1014 kbh 844 provins</t>
  </si>
  <si>
    <t>1505 kbh</t>
  </si>
  <si>
    <t>1298 kbh</t>
  </si>
  <si>
    <t>Antaget årsløn i provinsen</t>
  </si>
  <si>
    <t>5712 kbh</t>
  </si>
  <si>
    <t>4661 kbh</t>
  </si>
  <si>
    <t>4514 provins</t>
  </si>
  <si>
    <t>3955 provins</t>
  </si>
  <si>
    <t>4673 kbh</t>
  </si>
  <si>
    <t>3709 kbh</t>
  </si>
  <si>
    <t>3745 provins</t>
  </si>
  <si>
    <t>3215 provins</t>
  </si>
  <si>
    <t>Jernbaneportør</t>
  </si>
  <si>
    <t>Kbh hospitalsvæsen 100=1911</t>
  </si>
  <si>
    <t>Odense fattigvæsen 100=1914</t>
  </si>
  <si>
    <t>Kbh agforeninger 100=1914</t>
  </si>
  <si>
    <t>Staten</t>
  </si>
  <si>
    <t>Pristal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</si>
</sst>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_-* #,##0.00\ [$kr.-406]_-;\-* #,##0.00\ [$kr.-406]_-;_-* &quot;-&quot;??\ [$kr.-406]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164" fontId="0" fillId="0" borderId="0" xfId="1" applyNumberFormat="1" applyFont="1"/>
    <xf numFmtId="165" fontId="0" fillId="0" borderId="0" xfId="0" applyNumberFormat="1"/>
    <xf numFmtId="0" fontId="0" fillId="0" borderId="1" xfId="0" applyBorder="1"/>
    <xf numFmtId="0" fontId="2" fillId="0" borderId="0" xfId="0" applyFont="1"/>
    <xf numFmtId="165" fontId="2" fillId="0" borderId="0" xfId="0" applyNumberFormat="1" applyFont="1"/>
    <xf numFmtId="165" fontId="0" fillId="0" borderId="1" xfId="0" applyNumberFormat="1" applyBorder="1"/>
  </cellXfs>
  <cellStyles count="2">
    <cellStyle name="Normal" xfId="0" builtinId="0"/>
    <cellStyle name="Pro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142</xdr:row>
      <xdr:rowOff>95249</xdr:rowOff>
    </xdr:from>
    <xdr:to>
      <xdr:col>5</xdr:col>
      <xdr:colOff>257175</xdr:colOff>
      <xdr:row>155</xdr:row>
      <xdr:rowOff>133349</xdr:rowOff>
    </xdr:to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F3E3648C-57D6-C482-A193-593151A06B66}"/>
            </a:ext>
          </a:extLst>
        </xdr:cNvPr>
        <xdr:cNvSpPr txBox="1"/>
      </xdr:nvSpPr>
      <xdr:spPr>
        <a:xfrm>
          <a:off x="95250" y="19097624"/>
          <a:ext cx="2990850" cy="2390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Lønserien indeholder to brud, der gør det vanskeligt at sammenligne lønnen over tid. I perioden 1907-1952 er lønbegrebet gennemsnitlig fortjeneste pr. præsteret time ekskl. holdskifte- og ferietillæg, overtidstillæg samt andre genetillæg. Fra 1953 til 1992</a:t>
          </a:r>
        </a:p>
        <a:p>
          <a:r>
            <a:rPr lang="da-DK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 timefortjenesten yderligere fratrukket betalinger for søgnehelligdage. Fra 1993 anvendes lønbegrebet fortjeneste pr. præsteret</a:t>
          </a:r>
        </a:p>
        <a:p>
          <a:r>
            <a:rPr lang="da-DK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 ekskl. genetillæg, som også indeholder betalinger til pension, løn under sygdom, ferie- og SH-betalinger mv. Stigningstakter</a:t>
          </a:r>
        </a:p>
        <a:p>
          <a:r>
            <a:rPr lang="da-DK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er konsistent opgjort i hele perioden.</a:t>
          </a:r>
          <a:r>
            <a:rPr lang="da-DK"/>
            <a:t> </a:t>
          </a:r>
          <a:br>
            <a:rPr lang="da-DK"/>
          </a:br>
          <a:endParaRPr lang="da-DK" sz="1100"/>
        </a:p>
      </xdr:txBody>
    </xdr:sp>
    <xdr:clientData/>
  </xdr:twoCellAnchor>
  <xdr:twoCellAnchor>
    <xdr:from>
      <xdr:col>5</xdr:col>
      <xdr:colOff>142875</xdr:colOff>
      <xdr:row>49</xdr:row>
      <xdr:rowOff>180975</xdr:rowOff>
    </xdr:from>
    <xdr:to>
      <xdr:col>8</xdr:col>
      <xdr:colOff>323850</xdr:colOff>
      <xdr:row>55</xdr:row>
      <xdr:rowOff>142875</xdr:rowOff>
    </xdr:to>
    <xdr:sp macro="" textlink="">
      <xdr:nvSpPr>
        <xdr:cNvPr id="3" name="Tekstfelt 2">
          <a:extLst>
            <a:ext uri="{FF2B5EF4-FFF2-40B4-BE49-F238E27FC236}">
              <a16:creationId xmlns:a16="http://schemas.microsoft.com/office/drawing/2014/main" id="{37756E2F-7FDC-CAB0-DA5F-BCFC03AB313B}"/>
            </a:ext>
          </a:extLst>
        </xdr:cNvPr>
        <xdr:cNvSpPr txBox="1"/>
      </xdr:nvSpPr>
      <xdr:spPr>
        <a:xfrm>
          <a:off x="3743325" y="9486900"/>
          <a:ext cx="2238375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/>
            <a:t>1918: Timeløn af</a:t>
          </a:r>
          <a:r>
            <a:rPr lang="da-DK" sz="1100" baseline="0"/>
            <a:t> K Dalgaard (1924)</a:t>
          </a:r>
          <a:r>
            <a:rPr lang="da-DK" sz="1100"/>
            <a:t> </a:t>
          </a:r>
        </a:p>
        <a:p>
          <a:r>
            <a:rPr lang="da-DK" sz="1100"/>
            <a:t>Kbh</a:t>
          </a:r>
        </a:p>
        <a:p>
          <a:r>
            <a:rPr lang="da-DK" sz="1100"/>
            <a:t>Faglært</a:t>
          </a:r>
          <a:r>
            <a:rPr lang="da-DK" sz="1100" baseline="0"/>
            <a:t> 1,157 ufaglært 0,819</a:t>
          </a:r>
        </a:p>
        <a:p>
          <a:endParaRPr lang="da-DK" sz="1100" baseline="0"/>
        </a:p>
        <a:p>
          <a:r>
            <a:rPr lang="da-DK" sz="1100" baseline="0"/>
            <a:t>Provins:</a:t>
          </a:r>
        </a:p>
        <a:p>
          <a:r>
            <a:rPr lang="da-DK" sz="1100" baseline="0"/>
            <a:t>Faglært 0,945 ufaglært 0,704</a:t>
          </a:r>
          <a:endParaRPr lang="da-DK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124704</xdr:colOff>
      <xdr:row>29</xdr:row>
      <xdr:rowOff>19785</xdr:rowOff>
    </xdr:to>
    <xdr:pic>
      <xdr:nvPicPr>
        <xdr:cNvPr id="2" name="Billede 1">
          <a:extLst>
            <a:ext uri="{FF2B5EF4-FFF2-40B4-BE49-F238E27FC236}">
              <a16:creationId xmlns:a16="http://schemas.microsoft.com/office/drawing/2014/main" id="{4B3346C9-FF2C-ED5A-B148-3BBFFFCDC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526806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22</xdr:col>
      <xdr:colOff>172431</xdr:colOff>
      <xdr:row>37</xdr:row>
      <xdr:rowOff>39040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F7A3360F-3AD7-6017-5CCB-A1E8C5EA9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29600" y="0"/>
          <a:ext cx="7030431" cy="6735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0929-F0FA-438A-9F93-1C4904CEC9A6}">
  <dimension ref="A1:Q145"/>
  <sheetViews>
    <sheetView tabSelected="1" workbookViewId="0">
      <selection activeCell="Q60" sqref="Q60"/>
    </sheetView>
  </sheetViews>
  <sheetFormatPr defaultRowHeight="14.25"/>
  <cols>
    <col min="3" max="3" width="10.125" bestFit="1" customWidth="1"/>
    <col min="5" max="5" width="10.125" bestFit="1" customWidth="1"/>
  </cols>
  <sheetData>
    <row r="1" spans="1:17">
      <c r="B1" t="s">
        <v>0</v>
      </c>
    </row>
    <row r="2" spans="1:17">
      <c r="B2" t="s">
        <v>1</v>
      </c>
    </row>
    <row r="3" spans="1:17">
      <c r="H3" t="s">
        <v>7</v>
      </c>
      <c r="I3" t="s">
        <v>7</v>
      </c>
      <c r="J3" t="s">
        <v>10</v>
      </c>
      <c r="K3" t="s">
        <v>10</v>
      </c>
      <c r="L3" t="s">
        <v>13</v>
      </c>
      <c r="M3" t="s">
        <v>13</v>
      </c>
      <c r="N3" t="s">
        <v>13</v>
      </c>
      <c r="O3" t="s">
        <v>13</v>
      </c>
      <c r="Q3" t="s">
        <v>13</v>
      </c>
    </row>
    <row r="4" spans="1:17" ht="15">
      <c r="A4" t="s">
        <v>6</v>
      </c>
      <c r="B4" t="s">
        <v>2</v>
      </c>
      <c r="C4" t="s">
        <v>3</v>
      </c>
      <c r="D4" t="s">
        <v>4</v>
      </c>
      <c r="E4" s="5" t="s">
        <v>5</v>
      </c>
      <c r="F4" t="s">
        <v>11</v>
      </c>
      <c r="G4" t="s">
        <v>12</v>
      </c>
      <c r="H4" t="s">
        <v>8</v>
      </c>
      <c r="I4" t="s">
        <v>9</v>
      </c>
      <c r="J4" t="s">
        <v>8</v>
      </c>
      <c r="K4" t="s">
        <v>9</v>
      </c>
      <c r="L4" t="s">
        <v>8</v>
      </c>
      <c r="M4" t="s">
        <v>9</v>
      </c>
      <c r="N4" t="s">
        <v>8</v>
      </c>
      <c r="O4" t="s">
        <v>9</v>
      </c>
      <c r="Q4" t="s">
        <v>39</v>
      </c>
    </row>
    <row r="5" spans="1:17" ht="15">
      <c r="B5">
        <v>1870</v>
      </c>
      <c r="E5" s="5"/>
    </row>
    <row r="6" spans="1:17" ht="15">
      <c r="B6">
        <v>1871</v>
      </c>
      <c r="E6" s="5"/>
    </row>
    <row r="7" spans="1:17" ht="15">
      <c r="B7">
        <v>1872</v>
      </c>
      <c r="E7" s="5"/>
    </row>
    <row r="8" spans="1:17" ht="15">
      <c r="B8">
        <v>1873</v>
      </c>
      <c r="E8" s="5"/>
      <c r="F8">
        <v>0.23699999999999999</v>
      </c>
      <c r="J8">
        <v>11.84</v>
      </c>
      <c r="K8">
        <v>11.84</v>
      </c>
    </row>
    <row r="9" spans="1:17" ht="15">
      <c r="B9">
        <v>1874</v>
      </c>
      <c r="E9" s="5"/>
      <c r="Q9">
        <v>600</v>
      </c>
    </row>
    <row r="10" spans="1:17" ht="15">
      <c r="B10">
        <v>1875</v>
      </c>
      <c r="E10" s="5"/>
    </row>
    <row r="11" spans="1:17" ht="15">
      <c r="B11">
        <v>1876</v>
      </c>
      <c r="E11" s="5"/>
    </row>
    <row r="12" spans="1:17" ht="15">
      <c r="B12">
        <v>1877</v>
      </c>
      <c r="E12" s="5"/>
    </row>
    <row r="13" spans="1:17" ht="15">
      <c r="B13">
        <v>1878</v>
      </c>
      <c r="E13" s="5"/>
    </row>
    <row r="14" spans="1:17" ht="15">
      <c r="B14">
        <v>1879</v>
      </c>
      <c r="E14" s="5"/>
      <c r="F14">
        <v>0.26989999999999997</v>
      </c>
      <c r="L14" t="s">
        <v>16</v>
      </c>
      <c r="Q14">
        <v>780</v>
      </c>
    </row>
    <row r="15" spans="1:17" ht="15">
      <c r="B15">
        <v>1880</v>
      </c>
      <c r="E15" s="5"/>
    </row>
    <row r="16" spans="1:17" ht="15">
      <c r="B16">
        <v>1881</v>
      </c>
      <c r="E16" s="5"/>
    </row>
    <row r="17" spans="1:17" ht="15">
      <c r="A17">
        <v>10</v>
      </c>
      <c r="B17">
        <v>1882</v>
      </c>
      <c r="E17" s="5"/>
      <c r="F17">
        <v>0.30399999999999999</v>
      </c>
      <c r="H17">
        <v>3.04</v>
      </c>
      <c r="I17">
        <v>2.37</v>
      </c>
      <c r="Q17">
        <v>800</v>
      </c>
    </row>
    <row r="18" spans="1:17" ht="15">
      <c r="B18">
        <v>1883</v>
      </c>
      <c r="E18" s="5"/>
      <c r="G18">
        <v>0.22500000000000001</v>
      </c>
      <c r="M18" t="s">
        <v>14</v>
      </c>
    </row>
    <row r="19" spans="1:17" ht="15">
      <c r="B19">
        <v>1884</v>
      </c>
      <c r="E19" s="5"/>
    </row>
    <row r="20" spans="1:17" ht="15">
      <c r="B20">
        <v>1885</v>
      </c>
      <c r="E20" s="5"/>
    </row>
    <row r="21" spans="1:17" ht="15">
      <c r="B21">
        <v>1886</v>
      </c>
      <c r="E21" s="5"/>
    </row>
    <row r="22" spans="1:17" ht="15">
      <c r="B22">
        <v>1887</v>
      </c>
      <c r="E22" s="5"/>
    </row>
    <row r="23" spans="1:17" ht="15">
      <c r="B23">
        <v>1888</v>
      </c>
      <c r="E23" s="5"/>
    </row>
    <row r="24" spans="1:17" ht="15">
      <c r="B24">
        <v>1889</v>
      </c>
      <c r="E24" s="5"/>
    </row>
    <row r="25" spans="1:17" ht="15">
      <c r="B25">
        <v>1890</v>
      </c>
      <c r="E25" s="5"/>
    </row>
    <row r="26" spans="1:17" ht="15">
      <c r="B26">
        <v>1891</v>
      </c>
      <c r="E26" s="5"/>
    </row>
    <row r="27" spans="1:17" ht="15">
      <c r="B27">
        <v>1892</v>
      </c>
      <c r="E27" s="5"/>
      <c r="F27">
        <v>0.33200000000000002</v>
      </c>
      <c r="G27">
        <v>0.25900000000000001</v>
      </c>
      <c r="L27" t="s">
        <v>15</v>
      </c>
      <c r="M27" t="s">
        <v>17</v>
      </c>
      <c r="Q27">
        <v>960</v>
      </c>
    </row>
    <row r="28" spans="1:17" ht="15">
      <c r="B28">
        <v>1893</v>
      </c>
      <c r="E28" s="5"/>
      <c r="L28" t="s">
        <v>18</v>
      </c>
      <c r="M28" t="s">
        <v>19</v>
      </c>
    </row>
    <row r="29" spans="1:17" ht="15">
      <c r="B29">
        <v>1894</v>
      </c>
      <c r="E29" s="5"/>
    </row>
    <row r="30" spans="1:17" ht="15">
      <c r="B30">
        <v>1895</v>
      </c>
      <c r="E30" s="5"/>
    </row>
    <row r="31" spans="1:17" ht="15">
      <c r="B31">
        <v>1896</v>
      </c>
      <c r="E31" s="5"/>
    </row>
    <row r="32" spans="1:17" ht="15">
      <c r="B32">
        <v>1897</v>
      </c>
      <c r="E32" s="5"/>
      <c r="L32" t="s">
        <v>20</v>
      </c>
      <c r="M32" t="s">
        <v>21</v>
      </c>
      <c r="Q32">
        <v>960</v>
      </c>
    </row>
    <row r="33" spans="1:17" ht="15">
      <c r="B33">
        <v>1898</v>
      </c>
      <c r="E33" s="5"/>
      <c r="L33" t="s">
        <v>22</v>
      </c>
      <c r="M33" t="s">
        <v>23</v>
      </c>
      <c r="Q33">
        <v>1020</v>
      </c>
    </row>
    <row r="34" spans="1:17" ht="15">
      <c r="B34">
        <v>1899</v>
      </c>
      <c r="E34" s="5"/>
    </row>
    <row r="35" spans="1:17" ht="15">
      <c r="B35">
        <v>1900</v>
      </c>
      <c r="E35" s="5"/>
    </row>
    <row r="36" spans="1:17" ht="15">
      <c r="B36">
        <v>1901</v>
      </c>
      <c r="E36" s="5"/>
    </row>
    <row r="37" spans="1:17" ht="15">
      <c r="B37">
        <v>1902</v>
      </c>
      <c r="E37" s="5"/>
    </row>
    <row r="38" spans="1:17" ht="15">
      <c r="B38">
        <v>1903</v>
      </c>
      <c r="E38" s="5"/>
    </row>
    <row r="39" spans="1:17" ht="15">
      <c r="B39">
        <v>1904</v>
      </c>
      <c r="E39" s="5"/>
      <c r="L39" t="s">
        <v>24</v>
      </c>
      <c r="M39" t="s">
        <v>25</v>
      </c>
      <c r="Q39">
        <v>1356</v>
      </c>
    </row>
    <row r="40" spans="1:17" ht="15">
      <c r="B40">
        <v>1905</v>
      </c>
      <c r="E40" s="5"/>
      <c r="J40">
        <v>21.4</v>
      </c>
      <c r="K40">
        <v>18.7</v>
      </c>
      <c r="L40" t="s">
        <v>26</v>
      </c>
      <c r="M40" t="s">
        <v>27</v>
      </c>
    </row>
    <row r="41" spans="1:17" ht="15">
      <c r="A41">
        <v>9.6999999999999993</v>
      </c>
      <c r="B41">
        <v>1906</v>
      </c>
      <c r="E41" s="5"/>
    </row>
    <row r="42" spans="1:17" ht="15">
      <c r="B42">
        <v>1907</v>
      </c>
      <c r="C42" s="3">
        <v>0.39</v>
      </c>
      <c r="D42" s="2"/>
      <c r="E42" s="6">
        <v>0.39</v>
      </c>
    </row>
    <row r="43" spans="1:17" ht="15">
      <c r="B43">
        <v>1908</v>
      </c>
      <c r="C43" s="3">
        <v>0.41</v>
      </c>
      <c r="D43" s="2">
        <v>5.0999999999999997E-2</v>
      </c>
      <c r="E43" s="6">
        <f>C42*(1+D43)</f>
        <v>0.40988999999999998</v>
      </c>
    </row>
    <row r="44" spans="1:17" ht="15">
      <c r="B44">
        <v>1909</v>
      </c>
      <c r="C44" s="3">
        <v>0.43</v>
      </c>
      <c r="D44" s="2">
        <v>4.9000000000000002E-2</v>
      </c>
      <c r="E44" s="6">
        <f>E43*(1+D44)</f>
        <v>0.42997460999999992</v>
      </c>
      <c r="H44">
        <v>0.62</v>
      </c>
      <c r="I44">
        <v>0.54</v>
      </c>
      <c r="L44" t="s">
        <v>28</v>
      </c>
      <c r="M44" t="s">
        <v>29</v>
      </c>
      <c r="Q44">
        <v>1740</v>
      </c>
    </row>
    <row r="45" spans="1:17" ht="15">
      <c r="B45">
        <v>1910</v>
      </c>
      <c r="C45" s="3">
        <v>0.45</v>
      </c>
      <c r="D45" s="2">
        <v>4.7E-2</v>
      </c>
      <c r="E45" s="6">
        <f t="shared" ref="E45:E108" si="0">E44*(1+D45)</f>
        <v>0.45018341666999989</v>
      </c>
    </row>
    <row r="46" spans="1:17" ht="15">
      <c r="B46">
        <v>1911</v>
      </c>
      <c r="C46" s="3">
        <v>0.47</v>
      </c>
      <c r="D46" s="2">
        <v>4.3999999999999997E-2</v>
      </c>
      <c r="E46" s="6">
        <f t="shared" si="0"/>
        <v>0.46999148700347992</v>
      </c>
    </row>
    <row r="47" spans="1:17" ht="15">
      <c r="B47">
        <v>1912</v>
      </c>
      <c r="C47" s="3">
        <v>0.48</v>
      </c>
      <c r="D47" s="2">
        <v>2.1000000000000001E-2</v>
      </c>
      <c r="E47" s="6">
        <f t="shared" si="0"/>
        <v>0.47986130823055295</v>
      </c>
    </row>
    <row r="48" spans="1:17" ht="15">
      <c r="B48">
        <v>1913</v>
      </c>
      <c r="C48" s="3">
        <v>0.49</v>
      </c>
      <c r="D48" s="2">
        <v>2.1000000000000001E-2</v>
      </c>
      <c r="E48" s="6">
        <f t="shared" si="0"/>
        <v>0.48993839570339454</v>
      </c>
      <c r="N48" t="s">
        <v>30</v>
      </c>
    </row>
    <row r="49" spans="1:17" ht="15">
      <c r="A49">
        <v>9.5</v>
      </c>
      <c r="B49">
        <v>1914</v>
      </c>
      <c r="C49" s="3">
        <v>0.5</v>
      </c>
      <c r="D49" s="2">
        <v>2.4E-2</v>
      </c>
      <c r="E49" s="6">
        <f t="shared" si="0"/>
        <v>0.50169691720027598</v>
      </c>
      <c r="H49">
        <v>0.54800000000000004</v>
      </c>
      <c r="I49">
        <v>0.40799999999999997</v>
      </c>
      <c r="L49">
        <v>1832</v>
      </c>
      <c r="M49">
        <v>1206</v>
      </c>
      <c r="N49">
        <v>1562</v>
      </c>
      <c r="O49">
        <v>1200</v>
      </c>
      <c r="Q49">
        <v>1740</v>
      </c>
    </row>
    <row r="50" spans="1:17" ht="15">
      <c r="B50">
        <v>1915</v>
      </c>
      <c r="C50" s="3">
        <v>0.51</v>
      </c>
      <c r="D50" s="2">
        <v>1.6E-2</v>
      </c>
      <c r="E50" s="6">
        <f t="shared" si="0"/>
        <v>0.50972406787548041</v>
      </c>
    </row>
    <row r="51" spans="1:17" ht="15">
      <c r="B51">
        <v>1916</v>
      </c>
      <c r="C51" s="3">
        <v>0.57999999999999996</v>
      </c>
      <c r="D51" s="2">
        <v>0.13700000000000001</v>
      </c>
      <c r="E51" s="6">
        <f t="shared" si="0"/>
        <v>0.57955626517442127</v>
      </c>
    </row>
    <row r="52" spans="1:17" ht="15">
      <c r="B52">
        <v>1917</v>
      </c>
      <c r="C52" s="3">
        <v>0.66</v>
      </c>
      <c r="D52" s="2">
        <v>0.13800000000000001</v>
      </c>
      <c r="E52" s="6">
        <f t="shared" si="0"/>
        <v>0.65953502976849132</v>
      </c>
    </row>
    <row r="53" spans="1:17" ht="15">
      <c r="A53">
        <v>9.5</v>
      </c>
      <c r="B53">
        <v>1918</v>
      </c>
      <c r="C53" s="3">
        <v>0.85</v>
      </c>
      <c r="D53" s="2">
        <v>0.28799999999999998</v>
      </c>
      <c r="E53" s="6">
        <f t="shared" si="0"/>
        <v>0.84948111834181683</v>
      </c>
      <c r="Q53">
        <v>2925</v>
      </c>
    </row>
    <row r="54" spans="1:17" ht="15">
      <c r="B54">
        <v>1919</v>
      </c>
      <c r="C54" s="3">
        <v>1.47</v>
      </c>
      <c r="D54" s="2">
        <v>0.72899999999999998</v>
      </c>
      <c r="E54" s="6">
        <f t="shared" si="0"/>
        <v>1.4687528536130015</v>
      </c>
    </row>
    <row r="55" spans="1:17" ht="15">
      <c r="B55">
        <v>1920</v>
      </c>
      <c r="C55" s="3">
        <v>1.93</v>
      </c>
      <c r="D55" s="2">
        <v>0.313</v>
      </c>
      <c r="E55" s="6">
        <f t="shared" si="0"/>
        <v>1.9284724967938709</v>
      </c>
    </row>
    <row r="56" spans="1:17" ht="15">
      <c r="A56">
        <v>8</v>
      </c>
      <c r="B56">
        <v>1921</v>
      </c>
      <c r="C56" s="3">
        <v>1.81</v>
      </c>
      <c r="D56" s="2">
        <v>-6.2E-2</v>
      </c>
      <c r="E56" s="6">
        <f t="shared" si="0"/>
        <v>1.8089072019926509</v>
      </c>
      <c r="L56" t="s">
        <v>31</v>
      </c>
      <c r="M56" t="s">
        <v>32</v>
      </c>
      <c r="N56" t="s">
        <v>33</v>
      </c>
      <c r="O56" t="s">
        <v>34</v>
      </c>
      <c r="Q56">
        <v>4482</v>
      </c>
    </row>
    <row r="57" spans="1:17" ht="15">
      <c r="B57">
        <v>1922</v>
      </c>
      <c r="C57" s="3">
        <v>1.42</v>
      </c>
      <c r="D57" s="2">
        <v>-0.215</v>
      </c>
      <c r="E57" s="6">
        <f t="shared" si="0"/>
        <v>1.419992153564231</v>
      </c>
    </row>
    <row r="58" spans="1:17" ht="15">
      <c r="B58">
        <v>1923</v>
      </c>
      <c r="C58" s="3">
        <v>1.36</v>
      </c>
      <c r="D58" s="2">
        <v>-4.2000000000000003E-2</v>
      </c>
      <c r="E58" s="6">
        <f t="shared" si="0"/>
        <v>1.3603524831145333</v>
      </c>
    </row>
    <row r="59" spans="1:17" ht="15">
      <c r="B59">
        <v>1924</v>
      </c>
      <c r="C59" s="3">
        <v>1.44</v>
      </c>
      <c r="D59" s="2">
        <v>5.7000000000000002E-2</v>
      </c>
      <c r="E59" s="6">
        <f t="shared" si="0"/>
        <v>1.4378925746520617</v>
      </c>
      <c r="L59" t="s">
        <v>35</v>
      </c>
      <c r="M59" t="s">
        <v>36</v>
      </c>
      <c r="N59" t="s">
        <v>37</v>
      </c>
      <c r="O59" t="s">
        <v>38</v>
      </c>
      <c r="Q59">
        <v>3808</v>
      </c>
    </row>
    <row r="60" spans="1:17" ht="15">
      <c r="B60">
        <v>1925</v>
      </c>
      <c r="C60" s="3">
        <v>1.51</v>
      </c>
      <c r="D60" s="2">
        <v>0.05</v>
      </c>
      <c r="E60" s="6">
        <f t="shared" si="0"/>
        <v>1.5097872033846649</v>
      </c>
    </row>
    <row r="61" spans="1:17" ht="15">
      <c r="B61">
        <v>1926</v>
      </c>
      <c r="C61" s="3">
        <v>1.35</v>
      </c>
      <c r="D61" s="2">
        <v>-0.106</v>
      </c>
      <c r="E61" s="6">
        <f t="shared" si="0"/>
        <v>1.3497497598258905</v>
      </c>
    </row>
    <row r="62" spans="1:17" ht="15">
      <c r="B62">
        <v>1927</v>
      </c>
      <c r="C62" s="3">
        <v>1.28</v>
      </c>
      <c r="D62" s="2">
        <v>-5.1999999999999998E-2</v>
      </c>
      <c r="E62" s="6">
        <f t="shared" si="0"/>
        <v>1.2795627723149441</v>
      </c>
    </row>
    <row r="63" spans="1:17" ht="15">
      <c r="B63">
        <v>1928</v>
      </c>
      <c r="C63" s="3">
        <v>1.28</v>
      </c>
      <c r="D63" s="2">
        <v>0</v>
      </c>
      <c r="E63" s="6">
        <f t="shared" si="0"/>
        <v>1.2795627723149441</v>
      </c>
    </row>
    <row r="64" spans="1:17" ht="15">
      <c r="B64">
        <v>1929</v>
      </c>
      <c r="C64" s="3">
        <v>1.29</v>
      </c>
      <c r="D64" s="2">
        <v>0.01</v>
      </c>
      <c r="E64" s="6">
        <f t="shared" si="0"/>
        <v>1.2923584000380934</v>
      </c>
    </row>
    <row r="65" spans="2:5" ht="15">
      <c r="B65">
        <v>1930</v>
      </c>
      <c r="C65" s="3">
        <v>1.32</v>
      </c>
      <c r="D65" s="2">
        <v>2.1000000000000001E-2</v>
      </c>
      <c r="E65" s="6">
        <f t="shared" si="0"/>
        <v>1.3194979264388933</v>
      </c>
    </row>
    <row r="66" spans="2:5" ht="15">
      <c r="B66">
        <v>1931</v>
      </c>
      <c r="C66" s="3">
        <v>1.32</v>
      </c>
      <c r="D66" s="2">
        <v>0</v>
      </c>
      <c r="E66" s="6">
        <f t="shared" si="0"/>
        <v>1.3194979264388933</v>
      </c>
    </row>
    <row r="67" spans="2:5" ht="15">
      <c r="B67">
        <v>1932</v>
      </c>
      <c r="C67" s="3">
        <v>1.29</v>
      </c>
      <c r="D67" s="2">
        <v>-2.3E-2</v>
      </c>
      <c r="E67" s="6">
        <f t="shared" si="0"/>
        <v>1.2891494741307987</v>
      </c>
    </row>
    <row r="68" spans="2:5" ht="15">
      <c r="B68">
        <v>1933</v>
      </c>
      <c r="C68" s="3">
        <v>1.29</v>
      </c>
      <c r="D68" s="2">
        <v>0</v>
      </c>
      <c r="E68" s="6">
        <f t="shared" si="0"/>
        <v>1.2891494741307987</v>
      </c>
    </row>
    <row r="69" spans="2:5" ht="15">
      <c r="B69">
        <v>1934</v>
      </c>
      <c r="C69" s="3">
        <v>1.31</v>
      </c>
      <c r="D69" s="2">
        <v>1.2E-2</v>
      </c>
      <c r="E69" s="6">
        <f t="shared" si="0"/>
        <v>1.3046192678203683</v>
      </c>
    </row>
    <row r="70" spans="2:5" ht="15">
      <c r="B70">
        <v>1935</v>
      </c>
      <c r="C70" s="3">
        <v>1.32</v>
      </c>
      <c r="D70" s="2">
        <v>1.0999999999999999E-2</v>
      </c>
      <c r="E70" s="6">
        <f t="shared" si="0"/>
        <v>1.3189700797663921</v>
      </c>
    </row>
    <row r="71" spans="2:5" ht="15">
      <c r="B71">
        <v>1936</v>
      </c>
      <c r="C71" s="3">
        <v>1.33</v>
      </c>
      <c r="D71" s="2">
        <v>8.0000000000000002E-3</v>
      </c>
      <c r="E71" s="6">
        <f t="shared" si="0"/>
        <v>1.3295218404045233</v>
      </c>
    </row>
    <row r="72" spans="2:5" ht="15">
      <c r="B72">
        <v>1937</v>
      </c>
      <c r="C72" s="3">
        <v>1.36</v>
      </c>
      <c r="D72" s="2">
        <v>2.3E-2</v>
      </c>
      <c r="E72" s="6">
        <f t="shared" si="0"/>
        <v>1.3601008427338273</v>
      </c>
    </row>
    <row r="73" spans="2:5" ht="15">
      <c r="B73">
        <v>1938</v>
      </c>
      <c r="C73" s="3">
        <v>1.43</v>
      </c>
      <c r="D73" s="2">
        <v>5.1999999999999998E-2</v>
      </c>
      <c r="E73" s="6">
        <f t="shared" si="0"/>
        <v>1.4308260865559863</v>
      </c>
    </row>
    <row r="74" spans="2:5" ht="15">
      <c r="B74">
        <v>1939</v>
      </c>
      <c r="C74" s="3">
        <v>1.47</v>
      </c>
      <c r="D74" s="2">
        <v>2.7E-2</v>
      </c>
      <c r="E74" s="6">
        <f t="shared" si="0"/>
        <v>1.4694583908929979</v>
      </c>
    </row>
    <row r="75" spans="2:5" ht="15">
      <c r="B75">
        <v>1940</v>
      </c>
      <c r="C75" s="3">
        <v>1.62</v>
      </c>
      <c r="D75" s="2">
        <v>0.105</v>
      </c>
      <c r="E75" s="6">
        <f t="shared" si="0"/>
        <v>1.6237515219367626</v>
      </c>
    </row>
    <row r="76" spans="2:5" ht="15">
      <c r="B76">
        <v>1941</v>
      </c>
      <c r="C76" s="3">
        <v>1.76</v>
      </c>
      <c r="D76" s="2">
        <v>8.3000000000000004E-2</v>
      </c>
      <c r="E76" s="6">
        <f t="shared" si="0"/>
        <v>1.7585228982575138</v>
      </c>
    </row>
    <row r="77" spans="2:5" ht="15">
      <c r="B77">
        <v>1942</v>
      </c>
      <c r="C77" s="3">
        <v>1.84</v>
      </c>
      <c r="D77" s="2">
        <v>4.8000000000000001E-2</v>
      </c>
      <c r="E77" s="6">
        <f t="shared" si="0"/>
        <v>1.8429319973738745</v>
      </c>
    </row>
    <row r="78" spans="2:5" ht="15">
      <c r="B78">
        <v>1943</v>
      </c>
      <c r="C78" s="3">
        <v>1.97</v>
      </c>
      <c r="D78" s="2">
        <v>6.9000000000000006E-2</v>
      </c>
      <c r="E78" s="6">
        <f t="shared" si="0"/>
        <v>1.9700943051926718</v>
      </c>
    </row>
    <row r="79" spans="2:5" ht="15">
      <c r="B79">
        <v>1944</v>
      </c>
      <c r="C79" s="3">
        <v>2.09</v>
      </c>
      <c r="D79" s="2">
        <v>5.8000000000000003E-2</v>
      </c>
      <c r="E79" s="6">
        <f t="shared" si="0"/>
        <v>2.0843597748938469</v>
      </c>
    </row>
    <row r="80" spans="2:5" ht="15">
      <c r="B80">
        <v>1945</v>
      </c>
      <c r="C80" s="3">
        <v>2.25</v>
      </c>
      <c r="D80" s="2">
        <v>7.6999999999999999E-2</v>
      </c>
      <c r="E80" s="6">
        <f t="shared" si="0"/>
        <v>2.2448554775606731</v>
      </c>
    </row>
    <row r="81" spans="2:5" ht="15">
      <c r="B81">
        <v>1946</v>
      </c>
      <c r="C81" s="3">
        <v>2.48</v>
      </c>
      <c r="D81" s="2">
        <v>0.10100000000000001</v>
      </c>
      <c r="E81" s="6">
        <f t="shared" si="0"/>
        <v>2.4715858807943012</v>
      </c>
    </row>
    <row r="82" spans="2:5" ht="15">
      <c r="B82">
        <v>1947</v>
      </c>
      <c r="C82" s="3">
        <v>2.62</v>
      </c>
      <c r="D82" s="2">
        <v>5.7000000000000002E-2</v>
      </c>
      <c r="E82" s="6">
        <f t="shared" si="0"/>
        <v>2.612466275999576</v>
      </c>
    </row>
    <row r="83" spans="2:5" ht="15">
      <c r="B83">
        <v>1948</v>
      </c>
      <c r="C83" s="3">
        <v>2.83</v>
      </c>
      <c r="D83" s="2">
        <v>8.2000000000000003E-2</v>
      </c>
      <c r="E83" s="6">
        <f t="shared" si="0"/>
        <v>2.8266885106315414</v>
      </c>
    </row>
    <row r="84" spans="2:5" ht="15">
      <c r="B84">
        <v>1949</v>
      </c>
      <c r="C84" s="3">
        <v>2.95</v>
      </c>
      <c r="D84" s="2">
        <v>4.2000000000000003E-2</v>
      </c>
      <c r="E84" s="6">
        <f t="shared" si="0"/>
        <v>2.945409428078066</v>
      </c>
    </row>
    <row r="85" spans="2:5" ht="15">
      <c r="B85">
        <v>1950</v>
      </c>
      <c r="C85" s="3">
        <v>3.09</v>
      </c>
      <c r="D85" s="2">
        <v>4.7E-2</v>
      </c>
      <c r="E85" s="6">
        <f t="shared" si="0"/>
        <v>3.0838436711977351</v>
      </c>
    </row>
    <row r="86" spans="2:5" ht="15">
      <c r="B86">
        <v>1951</v>
      </c>
      <c r="C86" s="3">
        <v>3.42</v>
      </c>
      <c r="D86" s="2">
        <v>0.107</v>
      </c>
      <c r="E86" s="6">
        <f t="shared" si="0"/>
        <v>3.4138149440158925</v>
      </c>
    </row>
    <row r="87" spans="2:5" ht="15">
      <c r="B87" s="4">
        <v>1952</v>
      </c>
      <c r="C87" s="7">
        <v>3.69</v>
      </c>
      <c r="D87" s="2">
        <v>7.9000000000000001E-2</v>
      </c>
      <c r="E87" s="6">
        <f t="shared" si="0"/>
        <v>3.6835063245931479</v>
      </c>
    </row>
    <row r="88" spans="2:5" ht="15">
      <c r="B88">
        <v>1953</v>
      </c>
      <c r="C88" s="3">
        <v>3.76</v>
      </c>
      <c r="D88" s="2">
        <v>2.7E-2</v>
      </c>
      <c r="E88" s="6">
        <f t="shared" si="0"/>
        <v>3.7829609953571626</v>
      </c>
    </row>
    <row r="89" spans="2:5" ht="15">
      <c r="B89">
        <v>1954</v>
      </c>
      <c r="C89" s="3">
        <v>3.89</v>
      </c>
      <c r="D89" s="2">
        <v>3.5000000000000003E-2</v>
      </c>
      <c r="E89" s="6">
        <f t="shared" si="0"/>
        <v>3.915364630194663</v>
      </c>
    </row>
    <row r="90" spans="2:5" ht="15">
      <c r="B90">
        <v>1955</v>
      </c>
      <c r="C90" s="3">
        <v>4.07</v>
      </c>
      <c r="D90" s="2">
        <v>4.5999999999999999E-2</v>
      </c>
      <c r="E90" s="6">
        <f t="shared" si="0"/>
        <v>4.0954714031836179</v>
      </c>
    </row>
    <row r="91" spans="2:5" ht="15">
      <c r="B91">
        <v>1956</v>
      </c>
      <c r="C91" s="3">
        <v>4.38</v>
      </c>
      <c r="D91" s="2">
        <v>7.5999999999999998E-2</v>
      </c>
      <c r="E91" s="6">
        <f t="shared" si="0"/>
        <v>4.4067272298255729</v>
      </c>
    </row>
    <row r="92" spans="2:5" ht="15">
      <c r="B92">
        <v>1957</v>
      </c>
      <c r="C92" s="3">
        <v>4.62</v>
      </c>
      <c r="D92" s="2">
        <v>5.5E-2</v>
      </c>
      <c r="E92" s="6">
        <f t="shared" si="0"/>
        <v>4.6490972274659788</v>
      </c>
    </row>
    <row r="93" spans="2:5" ht="15">
      <c r="B93">
        <v>1958</v>
      </c>
      <c r="C93" s="3">
        <v>4.8</v>
      </c>
      <c r="D93" s="2">
        <v>3.9E-2</v>
      </c>
      <c r="E93" s="6">
        <f t="shared" si="0"/>
        <v>4.8304120193371514</v>
      </c>
    </row>
    <row r="94" spans="2:5" ht="15">
      <c r="B94">
        <v>1959</v>
      </c>
      <c r="C94" s="3">
        <v>5.17</v>
      </c>
      <c r="D94" s="2">
        <v>7.6999999999999999E-2</v>
      </c>
      <c r="E94" s="6">
        <f t="shared" si="0"/>
        <v>5.2023537448261115</v>
      </c>
    </row>
    <row r="95" spans="2:5" ht="15">
      <c r="B95">
        <v>1960</v>
      </c>
      <c r="C95" s="3">
        <v>5.53</v>
      </c>
      <c r="D95" s="2">
        <v>7.0000000000000007E-2</v>
      </c>
      <c r="E95" s="6">
        <f t="shared" si="0"/>
        <v>5.5665185069639396</v>
      </c>
    </row>
    <row r="96" spans="2:5" ht="15">
      <c r="B96">
        <v>1961</v>
      </c>
      <c r="C96" s="3">
        <v>6.15</v>
      </c>
      <c r="D96" s="2">
        <v>0.112</v>
      </c>
      <c r="E96" s="6">
        <f t="shared" si="0"/>
        <v>6.1899685797439012</v>
      </c>
    </row>
    <row r="97" spans="2:5" ht="15">
      <c r="B97">
        <v>1962</v>
      </c>
      <c r="C97" s="3">
        <v>6.78</v>
      </c>
      <c r="D97" s="2">
        <v>0.10199999999999999</v>
      </c>
      <c r="E97" s="6">
        <f t="shared" si="0"/>
        <v>6.8213453748777795</v>
      </c>
    </row>
    <row r="98" spans="2:5" ht="15">
      <c r="B98">
        <v>1963</v>
      </c>
      <c r="C98" s="3">
        <v>7.33</v>
      </c>
      <c r="D98" s="2">
        <v>8.1000000000000003E-2</v>
      </c>
      <c r="E98" s="6">
        <f t="shared" si="0"/>
        <v>7.373874350242879</v>
      </c>
    </row>
    <row r="99" spans="2:5" ht="15">
      <c r="B99">
        <v>1964</v>
      </c>
      <c r="C99" s="3">
        <v>7.91</v>
      </c>
      <c r="D99" s="2">
        <v>7.9000000000000001E-2</v>
      </c>
      <c r="E99" s="6">
        <f t="shared" si="0"/>
        <v>7.9564104239120663</v>
      </c>
    </row>
    <row r="100" spans="2:5" ht="15">
      <c r="B100">
        <v>1965</v>
      </c>
      <c r="C100" s="3">
        <v>8.85</v>
      </c>
      <c r="D100" s="2">
        <v>0.11899999999999999</v>
      </c>
      <c r="E100" s="6">
        <f t="shared" si="0"/>
        <v>8.903223264357603</v>
      </c>
    </row>
    <row r="101" spans="2:5" ht="15">
      <c r="B101">
        <v>1966</v>
      </c>
      <c r="C101" s="3">
        <v>9.94</v>
      </c>
      <c r="D101" s="2">
        <v>0.123</v>
      </c>
      <c r="E101" s="6">
        <f t="shared" si="0"/>
        <v>9.9983197258735874</v>
      </c>
    </row>
    <row r="102" spans="2:5" ht="15">
      <c r="B102">
        <v>1967</v>
      </c>
      <c r="C102" s="3">
        <v>10.85</v>
      </c>
      <c r="D102" s="2">
        <v>9.1999999999999998E-2</v>
      </c>
      <c r="E102" s="6">
        <f t="shared" si="0"/>
        <v>10.918165140653958</v>
      </c>
    </row>
    <row r="103" spans="2:5" ht="15">
      <c r="B103">
        <v>1968</v>
      </c>
      <c r="C103" s="3">
        <v>12.05</v>
      </c>
      <c r="D103" s="2">
        <v>0.111</v>
      </c>
      <c r="E103" s="6">
        <f t="shared" si="0"/>
        <v>12.130081471266546</v>
      </c>
    </row>
    <row r="104" spans="2:5" ht="15">
      <c r="B104">
        <v>1969</v>
      </c>
      <c r="C104" s="3">
        <v>13.4</v>
      </c>
      <c r="D104" s="2">
        <v>0.112</v>
      </c>
      <c r="E104" s="6">
        <f t="shared" si="0"/>
        <v>13.488650596048402</v>
      </c>
    </row>
    <row r="105" spans="2:5" ht="15">
      <c r="B105">
        <v>1970</v>
      </c>
      <c r="C105" s="3">
        <v>14.91</v>
      </c>
      <c r="D105" s="2">
        <v>0.113</v>
      </c>
      <c r="E105" s="6">
        <f t="shared" si="0"/>
        <v>15.01286811340187</v>
      </c>
    </row>
    <row r="106" spans="2:5" ht="15">
      <c r="B106">
        <v>1971</v>
      </c>
      <c r="C106" s="3">
        <v>16.96</v>
      </c>
      <c r="D106" s="2">
        <v>0.13700000000000001</v>
      </c>
      <c r="E106" s="6">
        <f t="shared" si="0"/>
        <v>17.069631044937928</v>
      </c>
    </row>
    <row r="107" spans="2:5" ht="15">
      <c r="B107">
        <v>1972</v>
      </c>
      <c r="C107" s="3">
        <v>18.760000000000002</v>
      </c>
      <c r="D107" s="2">
        <v>0.106</v>
      </c>
      <c r="E107" s="6">
        <f t="shared" si="0"/>
        <v>18.87901193570135</v>
      </c>
    </row>
    <row r="108" spans="2:5" ht="15">
      <c r="B108">
        <v>1973</v>
      </c>
      <c r="C108" s="3">
        <v>21.6</v>
      </c>
      <c r="D108" s="2">
        <v>0.151</v>
      </c>
      <c r="E108" s="6">
        <f t="shared" si="0"/>
        <v>21.729742737992254</v>
      </c>
    </row>
    <row r="109" spans="2:5" ht="15">
      <c r="B109">
        <v>1974</v>
      </c>
      <c r="C109" s="3">
        <v>25.89</v>
      </c>
      <c r="D109" s="2">
        <v>0.19900000000000001</v>
      </c>
      <c r="E109" s="6">
        <f t="shared" ref="E109:E141" si="1">E108*(1+D109)</f>
        <v>26.053961542852715</v>
      </c>
    </row>
    <row r="110" spans="2:5" ht="15">
      <c r="B110">
        <v>1975</v>
      </c>
      <c r="C110" s="3">
        <v>30.86</v>
      </c>
      <c r="D110" s="2">
        <v>0.192</v>
      </c>
      <c r="E110" s="6">
        <f t="shared" si="1"/>
        <v>31.056322159080434</v>
      </c>
    </row>
    <row r="111" spans="2:5" ht="15">
      <c r="B111">
        <v>1976</v>
      </c>
      <c r="C111" s="3">
        <v>34.43</v>
      </c>
      <c r="D111" s="2">
        <v>0.11600000000000001</v>
      </c>
      <c r="E111" s="6">
        <f t="shared" si="1"/>
        <v>34.658855529533767</v>
      </c>
    </row>
    <row r="112" spans="2:5" ht="15">
      <c r="B112">
        <v>1977</v>
      </c>
      <c r="C112" s="3">
        <v>37.81</v>
      </c>
      <c r="D112" s="2">
        <v>9.8000000000000004E-2</v>
      </c>
      <c r="E112" s="6">
        <f t="shared" si="1"/>
        <v>38.055423371428077</v>
      </c>
    </row>
    <row r="113" spans="2:5" ht="15">
      <c r="B113">
        <v>1978</v>
      </c>
      <c r="C113" s="3">
        <v>41.5</v>
      </c>
      <c r="D113" s="2">
        <v>9.8000000000000004E-2</v>
      </c>
      <c r="E113" s="6">
        <f t="shared" si="1"/>
        <v>41.78485486182803</v>
      </c>
    </row>
    <row r="114" spans="2:5" ht="15">
      <c r="B114">
        <v>1979</v>
      </c>
      <c r="C114" s="3">
        <v>45.74</v>
      </c>
      <c r="D114" s="2">
        <v>0.10199999999999999</v>
      </c>
      <c r="E114" s="6">
        <f t="shared" si="1"/>
        <v>46.046910057734493</v>
      </c>
    </row>
    <row r="115" spans="2:5" ht="15">
      <c r="B115">
        <v>1980</v>
      </c>
      <c r="C115" s="3">
        <v>50.17</v>
      </c>
      <c r="D115" s="2">
        <v>9.7000000000000003E-2</v>
      </c>
      <c r="E115" s="6">
        <f t="shared" si="1"/>
        <v>50.513460333334741</v>
      </c>
    </row>
    <row r="116" spans="2:5" ht="15">
      <c r="B116">
        <v>1981</v>
      </c>
      <c r="C116" s="3">
        <v>54.6</v>
      </c>
      <c r="D116" s="2">
        <v>8.7999999999999995E-2</v>
      </c>
      <c r="E116" s="6">
        <f t="shared" si="1"/>
        <v>54.9586448426682</v>
      </c>
    </row>
    <row r="117" spans="2:5" ht="15">
      <c r="B117">
        <v>1982</v>
      </c>
      <c r="C117" s="3">
        <v>60.06</v>
      </c>
      <c r="D117" s="2">
        <v>0.1</v>
      </c>
      <c r="E117" s="6">
        <f t="shared" si="1"/>
        <v>60.454509326935025</v>
      </c>
    </row>
    <row r="118" spans="2:5" ht="15">
      <c r="B118">
        <v>1983</v>
      </c>
      <c r="C118" s="3">
        <v>64.02</v>
      </c>
      <c r="D118" s="2">
        <v>6.6000000000000003E-2</v>
      </c>
      <c r="E118" s="6">
        <f t="shared" si="1"/>
        <v>64.444506942512746</v>
      </c>
    </row>
    <row r="119" spans="2:5" ht="15">
      <c r="B119">
        <v>1984</v>
      </c>
      <c r="C119" s="3">
        <v>67.05</v>
      </c>
      <c r="D119" s="2">
        <v>4.7E-2</v>
      </c>
      <c r="E119" s="6">
        <f t="shared" si="1"/>
        <v>67.473398768810839</v>
      </c>
    </row>
    <row r="120" spans="2:5" ht="15">
      <c r="B120">
        <v>1985</v>
      </c>
      <c r="C120" s="3">
        <v>70.13</v>
      </c>
      <c r="D120" s="2">
        <v>4.5999999999999999E-2</v>
      </c>
      <c r="E120" s="6">
        <f t="shared" si="1"/>
        <v>70.577175112176135</v>
      </c>
    </row>
    <row r="121" spans="2:5" ht="15">
      <c r="B121">
        <v>1986</v>
      </c>
      <c r="C121" s="3">
        <v>73.87</v>
      </c>
      <c r="D121" s="2">
        <v>5.2999999999999999E-2</v>
      </c>
      <c r="E121" s="6">
        <f t="shared" si="1"/>
        <v>74.317765393121462</v>
      </c>
    </row>
    <row r="122" spans="2:5" ht="15">
      <c r="B122">
        <v>1987</v>
      </c>
      <c r="C122" s="3">
        <v>80.78</v>
      </c>
      <c r="D122" s="2">
        <v>9.4E-2</v>
      </c>
      <c r="E122" s="6">
        <f t="shared" si="1"/>
        <v>81.303635340074891</v>
      </c>
    </row>
    <row r="123" spans="2:5" ht="15">
      <c r="B123">
        <v>1988</v>
      </c>
      <c r="C123" s="3">
        <v>85.72</v>
      </c>
      <c r="D123" s="2">
        <v>6.0999999999999999E-2</v>
      </c>
      <c r="E123" s="6">
        <f t="shared" si="1"/>
        <v>86.263157095819452</v>
      </c>
    </row>
    <row r="124" spans="2:5" ht="15">
      <c r="B124">
        <v>1989</v>
      </c>
      <c r="C124" s="3">
        <v>88.94</v>
      </c>
      <c r="D124" s="2">
        <v>3.7999999999999999E-2</v>
      </c>
      <c r="E124" s="6">
        <f t="shared" si="1"/>
        <v>89.541157065460595</v>
      </c>
    </row>
    <row r="125" spans="2:5" ht="15">
      <c r="B125">
        <v>1990</v>
      </c>
      <c r="C125" s="3">
        <v>92.23</v>
      </c>
      <c r="D125" s="2">
        <v>3.6999999999999998E-2</v>
      </c>
      <c r="E125" s="6">
        <f t="shared" si="1"/>
        <v>92.854179876882625</v>
      </c>
    </row>
    <row r="126" spans="2:5" ht="15">
      <c r="B126">
        <v>1991</v>
      </c>
      <c r="C126" s="3">
        <v>95.97</v>
      </c>
      <c r="D126" s="2">
        <v>4.1000000000000002E-2</v>
      </c>
      <c r="E126" s="6">
        <f t="shared" si="1"/>
        <v>96.661201251834811</v>
      </c>
    </row>
    <row r="127" spans="2:5" ht="15">
      <c r="B127" s="4">
        <v>1992</v>
      </c>
      <c r="C127" s="7">
        <v>98.6</v>
      </c>
      <c r="D127" s="2">
        <v>2.7E-2</v>
      </c>
      <c r="E127" s="6">
        <f t="shared" si="1"/>
        <v>99.271053685634342</v>
      </c>
    </row>
    <row r="128" spans="2:5" ht="15">
      <c r="B128">
        <v>1993</v>
      </c>
      <c r="C128" s="3">
        <v>120.54</v>
      </c>
      <c r="D128" s="2">
        <v>2.4E-2</v>
      </c>
      <c r="E128" s="6">
        <f t="shared" si="1"/>
        <v>101.65355897408956</v>
      </c>
    </row>
    <row r="129" spans="2:5" ht="15">
      <c r="B129">
        <v>1994</v>
      </c>
      <c r="C129" s="3">
        <v>127.59</v>
      </c>
      <c r="D129" s="2">
        <v>4.2000000000000003E-2</v>
      </c>
      <c r="E129" s="6">
        <f t="shared" si="1"/>
        <v>105.92300845100132</v>
      </c>
    </row>
    <row r="130" spans="2:5" ht="15">
      <c r="B130">
        <v>1995</v>
      </c>
      <c r="C130" s="3">
        <v>132.41999999999999</v>
      </c>
      <c r="D130" s="2">
        <v>3.6999999999999998E-2</v>
      </c>
      <c r="E130" s="6">
        <f t="shared" si="1"/>
        <v>109.84215976368836</v>
      </c>
    </row>
    <row r="131" spans="2:5" ht="15">
      <c r="B131">
        <v>1996</v>
      </c>
      <c r="C131" s="3">
        <v>136.44</v>
      </c>
      <c r="D131" s="2">
        <v>3.9E-2</v>
      </c>
      <c r="E131" s="6">
        <f t="shared" si="1"/>
        <v>114.1260039944722</v>
      </c>
    </row>
    <row r="132" spans="2:5" ht="15">
      <c r="B132">
        <v>1997</v>
      </c>
      <c r="C132" s="3">
        <v>142.09</v>
      </c>
      <c r="D132" s="2">
        <v>3.6999999999999998E-2</v>
      </c>
      <c r="E132" s="6">
        <f t="shared" si="1"/>
        <v>118.34866614226766</v>
      </c>
    </row>
    <row r="133" spans="2:5" ht="15">
      <c r="B133">
        <v>1998</v>
      </c>
      <c r="C133" s="3">
        <v>146.83000000000001</v>
      </c>
      <c r="D133" s="2">
        <v>3.9E-2</v>
      </c>
      <c r="E133" s="6">
        <f t="shared" si="1"/>
        <v>122.96426412181609</v>
      </c>
    </row>
    <row r="134" spans="2:5" ht="15">
      <c r="B134">
        <v>1999</v>
      </c>
      <c r="C134" s="3">
        <v>152.02000000000001</v>
      </c>
      <c r="D134" s="2">
        <v>4.2000000000000003E-2</v>
      </c>
      <c r="E134" s="6">
        <f t="shared" si="1"/>
        <v>128.12876321493238</v>
      </c>
    </row>
    <row r="135" spans="2:5" ht="15">
      <c r="B135">
        <v>2000</v>
      </c>
      <c r="C135" s="3">
        <v>157.18</v>
      </c>
      <c r="D135" s="2">
        <v>3.4000000000000002E-4</v>
      </c>
      <c r="E135" s="6">
        <f t="shared" si="1"/>
        <v>128.17232699442545</v>
      </c>
    </row>
    <row r="136" spans="2:5" ht="15">
      <c r="B136">
        <v>2001</v>
      </c>
      <c r="C136" s="3">
        <v>164.23</v>
      </c>
      <c r="D136" s="2">
        <v>0.04</v>
      </c>
      <c r="E136" s="6">
        <f t="shared" si="1"/>
        <v>133.29922007420248</v>
      </c>
    </row>
    <row r="137" spans="2:5" ht="15">
      <c r="B137">
        <v>2002</v>
      </c>
      <c r="C137" s="3">
        <v>171.36</v>
      </c>
      <c r="D137" s="2">
        <v>0.04</v>
      </c>
      <c r="E137" s="6">
        <f t="shared" si="1"/>
        <v>138.63118887717059</v>
      </c>
    </row>
    <row r="138" spans="2:5" ht="15">
      <c r="B138">
        <v>2003</v>
      </c>
      <c r="C138" s="3">
        <v>178.17</v>
      </c>
      <c r="D138" s="2">
        <v>3.3000000000000002E-2</v>
      </c>
      <c r="E138" s="6">
        <f t="shared" si="1"/>
        <v>143.20601811011721</v>
      </c>
    </row>
    <row r="139" spans="2:5" ht="15">
      <c r="B139">
        <v>2004</v>
      </c>
      <c r="C139" s="3">
        <v>182.01</v>
      </c>
      <c r="D139" s="2">
        <v>2.8000000000000001E-2</v>
      </c>
      <c r="E139" s="6">
        <f t="shared" si="1"/>
        <v>147.21578661720051</v>
      </c>
    </row>
    <row r="140" spans="2:5" ht="15">
      <c r="B140">
        <v>2005</v>
      </c>
      <c r="C140" s="3">
        <v>184.3</v>
      </c>
      <c r="D140" s="2">
        <v>3.4000000000000002E-2</v>
      </c>
      <c r="E140" s="6">
        <f t="shared" si="1"/>
        <v>152.22112336218532</v>
      </c>
    </row>
    <row r="141" spans="2:5" ht="15">
      <c r="B141">
        <v>2006</v>
      </c>
      <c r="C141" s="3">
        <v>190.29</v>
      </c>
      <c r="D141" s="2">
        <v>3.5000000000000003E-2</v>
      </c>
      <c r="E141" s="6">
        <f t="shared" si="1"/>
        <v>157.5488626798618</v>
      </c>
    </row>
    <row r="142" spans="2:5">
      <c r="B142">
        <v>2007</v>
      </c>
      <c r="C142" s="3"/>
      <c r="D142" s="2"/>
      <c r="E142" s="3"/>
    </row>
    <row r="143" spans="2:5">
      <c r="D143" s="2"/>
    </row>
    <row r="144" spans="2:5">
      <c r="D144" s="2"/>
    </row>
    <row r="145" spans="4:4">
      <c r="D145" s="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C478-D839-49D1-8A49-2C51E4A51951}">
  <dimension ref="A1:K162"/>
  <sheetViews>
    <sheetView topLeftCell="A25" workbookViewId="0">
      <selection activeCell="B55" sqref="B55"/>
    </sheetView>
  </sheetViews>
  <sheetFormatPr defaultRowHeight="14.25"/>
  <cols>
    <col min="2" max="11" width="9" style="1"/>
  </cols>
  <sheetData>
    <row r="1" spans="1:6">
      <c r="B1" t="s">
        <v>40</v>
      </c>
      <c r="C1" t="s">
        <v>41</v>
      </c>
      <c r="D1" s="1" t="s">
        <v>42</v>
      </c>
      <c r="E1" s="1" t="s">
        <v>43</v>
      </c>
      <c r="F1" s="1" t="s">
        <v>44</v>
      </c>
    </row>
    <row r="2" spans="1:6">
      <c r="A2">
        <v>1865</v>
      </c>
      <c r="B2" s="1">
        <v>0.9</v>
      </c>
    </row>
    <row r="3" spans="1:6">
      <c r="A3">
        <v>1866</v>
      </c>
      <c r="B3" s="1">
        <v>0.96</v>
      </c>
    </row>
    <row r="4" spans="1:6">
      <c r="A4">
        <v>1867</v>
      </c>
      <c r="B4" s="1">
        <v>1</v>
      </c>
    </row>
    <row r="5" spans="1:6">
      <c r="A5">
        <v>1868</v>
      </c>
      <c r="B5" s="1">
        <v>1.08</v>
      </c>
    </row>
    <row r="6" spans="1:6">
      <c r="A6">
        <v>1869</v>
      </c>
      <c r="B6" s="1">
        <v>1.03</v>
      </c>
    </row>
    <row r="7" spans="1:6">
      <c r="A7">
        <v>1870</v>
      </c>
      <c r="B7" s="1">
        <v>1.02</v>
      </c>
    </row>
    <row r="8" spans="1:6">
      <c r="A8">
        <v>1871</v>
      </c>
      <c r="B8" s="1">
        <v>1.06</v>
      </c>
    </row>
    <row r="9" spans="1:6">
      <c r="A9">
        <v>1872</v>
      </c>
      <c r="B9" s="1">
        <v>1.07</v>
      </c>
      <c r="F9" s="1">
        <v>0.82</v>
      </c>
    </row>
    <row r="10" spans="1:6">
      <c r="A10">
        <v>1873</v>
      </c>
      <c r="B10" s="1">
        <v>1.1100000000000001</v>
      </c>
      <c r="F10" s="1">
        <v>0.84</v>
      </c>
    </row>
    <row r="11" spans="1:6">
      <c r="A11">
        <v>1874</v>
      </c>
      <c r="B11" s="1">
        <v>1.1200000000000001</v>
      </c>
      <c r="F11" s="1">
        <v>0.85</v>
      </c>
    </row>
    <row r="12" spans="1:6">
      <c r="A12">
        <v>1875</v>
      </c>
      <c r="B12" s="1">
        <v>1.1499999999999999</v>
      </c>
      <c r="F12" s="1">
        <v>0.87</v>
      </c>
    </row>
    <row r="13" spans="1:6">
      <c r="A13">
        <v>1876</v>
      </c>
      <c r="B13" s="1">
        <v>1.1499999999999999</v>
      </c>
      <c r="F13" s="1">
        <v>0.88</v>
      </c>
    </row>
    <row r="14" spans="1:6">
      <c r="A14">
        <v>1877</v>
      </c>
      <c r="B14" s="1">
        <v>1.18</v>
      </c>
      <c r="F14" s="1">
        <v>0.89</v>
      </c>
    </row>
    <row r="15" spans="1:6">
      <c r="A15">
        <v>1878</v>
      </c>
      <c r="B15" s="1">
        <v>1.1200000000000001</v>
      </c>
      <c r="F15" s="1">
        <v>0.89</v>
      </c>
    </row>
    <row r="16" spans="1:6">
      <c r="A16">
        <v>1879</v>
      </c>
      <c r="B16" s="1">
        <v>1.08</v>
      </c>
      <c r="C16" s="1">
        <v>1.04</v>
      </c>
      <c r="F16" s="1">
        <v>0.88</v>
      </c>
    </row>
    <row r="17" spans="1:6">
      <c r="A17">
        <v>1880</v>
      </c>
      <c r="B17" s="1">
        <v>1.1399999999999999</v>
      </c>
      <c r="C17" s="1">
        <v>1.1000000000000001</v>
      </c>
      <c r="F17" s="1">
        <v>0.87</v>
      </c>
    </row>
    <row r="18" spans="1:6">
      <c r="A18">
        <v>1881</v>
      </c>
      <c r="B18" s="1">
        <v>1.1399999999999999</v>
      </c>
      <c r="C18" s="1">
        <v>1.1100000000000001</v>
      </c>
      <c r="F18" s="1">
        <v>0.88</v>
      </c>
    </row>
    <row r="19" spans="1:6">
      <c r="A19">
        <v>1882</v>
      </c>
      <c r="B19" s="1">
        <v>1.0900000000000001</v>
      </c>
      <c r="C19" s="1">
        <v>1.08</v>
      </c>
      <c r="F19" s="1">
        <v>0.88</v>
      </c>
    </row>
    <row r="20" spans="1:6">
      <c r="A20">
        <v>1883</v>
      </c>
      <c r="B20" s="1">
        <v>1.07</v>
      </c>
      <c r="C20" s="1">
        <v>1.04</v>
      </c>
      <c r="F20" s="1">
        <v>0.88</v>
      </c>
    </row>
    <row r="21" spans="1:6">
      <c r="A21">
        <v>1884</v>
      </c>
      <c r="B21" s="1">
        <v>0.99</v>
      </c>
      <c r="C21" s="1">
        <v>1</v>
      </c>
      <c r="F21" s="1">
        <v>0.85</v>
      </c>
    </row>
    <row r="22" spans="1:6">
      <c r="A22">
        <v>1885</v>
      </c>
      <c r="B22" s="1">
        <v>0.95</v>
      </c>
      <c r="C22" s="1">
        <v>0.93</v>
      </c>
      <c r="F22" s="1">
        <v>0.83</v>
      </c>
    </row>
    <row r="23" spans="1:6">
      <c r="A23">
        <v>1886</v>
      </c>
      <c r="B23" s="1">
        <v>0.9</v>
      </c>
      <c r="C23" s="1">
        <v>0.89</v>
      </c>
      <c r="F23" s="1">
        <v>0.8</v>
      </c>
    </row>
    <row r="24" spans="1:6">
      <c r="A24">
        <v>1887</v>
      </c>
      <c r="B24" s="1">
        <v>0.88</v>
      </c>
      <c r="C24" s="1">
        <v>0.96</v>
      </c>
      <c r="F24" s="1">
        <v>0.77</v>
      </c>
    </row>
    <row r="25" spans="1:6">
      <c r="A25">
        <v>1888</v>
      </c>
      <c r="B25" s="1">
        <v>0.89</v>
      </c>
      <c r="C25" s="1">
        <v>0.96</v>
      </c>
      <c r="F25" s="1">
        <v>0.76</v>
      </c>
    </row>
    <row r="26" spans="1:6">
      <c r="A26">
        <v>1889</v>
      </c>
      <c r="B26" s="1">
        <v>0.96</v>
      </c>
      <c r="C26" s="1">
        <v>0.9</v>
      </c>
      <c r="F26" s="1">
        <v>0.77</v>
      </c>
    </row>
    <row r="27" spans="1:6">
      <c r="A27">
        <v>1890</v>
      </c>
      <c r="B27" s="1">
        <v>0.97</v>
      </c>
      <c r="C27" s="1">
        <v>0.92</v>
      </c>
      <c r="F27" s="1">
        <v>0.78</v>
      </c>
    </row>
    <row r="28" spans="1:6">
      <c r="A28">
        <v>1891</v>
      </c>
      <c r="B28" s="1">
        <v>1.04</v>
      </c>
      <c r="C28" s="1">
        <v>0.97</v>
      </c>
      <c r="F28" s="1">
        <v>0.81</v>
      </c>
    </row>
    <row r="29" spans="1:6">
      <c r="A29">
        <v>1892</v>
      </c>
      <c r="B29" s="1">
        <v>1</v>
      </c>
      <c r="C29" s="1">
        <v>0.93</v>
      </c>
      <c r="F29" s="1">
        <v>0.82</v>
      </c>
    </row>
    <row r="30" spans="1:6">
      <c r="A30">
        <v>1893</v>
      </c>
      <c r="B30" s="1">
        <v>0.94</v>
      </c>
      <c r="C30" s="1">
        <v>0.88</v>
      </c>
      <c r="F30" s="1">
        <v>0.81</v>
      </c>
    </row>
    <row r="31" spans="1:6">
      <c r="A31">
        <v>1894</v>
      </c>
      <c r="B31" s="1">
        <v>0.88</v>
      </c>
      <c r="C31" s="1">
        <v>0.82</v>
      </c>
      <c r="F31" s="1">
        <v>0.79</v>
      </c>
    </row>
    <row r="32" spans="1:6">
      <c r="A32">
        <v>1895</v>
      </c>
      <c r="B32" s="1">
        <v>0.85</v>
      </c>
      <c r="C32" s="1">
        <v>0.77</v>
      </c>
      <c r="F32" s="1">
        <v>0.76</v>
      </c>
    </row>
    <row r="33" spans="1:6">
      <c r="A33">
        <v>1896</v>
      </c>
      <c r="B33" s="1">
        <v>0.83</v>
      </c>
      <c r="C33" s="1">
        <v>0.73</v>
      </c>
      <c r="F33" s="1">
        <v>0.74</v>
      </c>
    </row>
    <row r="34" spans="1:6">
      <c r="A34">
        <v>1897</v>
      </c>
      <c r="B34" s="1">
        <v>0.84</v>
      </c>
      <c r="C34" s="1">
        <v>0.75</v>
      </c>
      <c r="F34" s="1">
        <v>0.74</v>
      </c>
    </row>
    <row r="35" spans="1:6">
      <c r="A35">
        <v>1898</v>
      </c>
      <c r="B35" s="1">
        <v>0.86</v>
      </c>
      <c r="C35" s="1">
        <v>0.8</v>
      </c>
      <c r="F35" s="1">
        <v>0.75</v>
      </c>
    </row>
    <row r="36" spans="1:6">
      <c r="A36">
        <v>1899</v>
      </c>
      <c r="B36" s="1">
        <v>0.89</v>
      </c>
      <c r="C36" s="1">
        <v>0.81</v>
      </c>
      <c r="F36" s="1">
        <v>0.77</v>
      </c>
    </row>
    <row r="37" spans="1:6">
      <c r="A37">
        <v>1900</v>
      </c>
      <c r="B37" s="1">
        <v>0.9</v>
      </c>
      <c r="C37" s="1">
        <v>0.82</v>
      </c>
      <c r="F37" s="1">
        <v>0.79</v>
      </c>
    </row>
    <row r="38" spans="1:6">
      <c r="A38">
        <v>1901</v>
      </c>
      <c r="B38" s="1">
        <v>0.9</v>
      </c>
      <c r="C38" s="1">
        <v>0.84</v>
      </c>
      <c r="F38" s="1">
        <v>0.79</v>
      </c>
    </row>
    <row r="39" spans="1:6">
      <c r="A39">
        <v>1902</v>
      </c>
      <c r="B39" s="1">
        <v>0.91</v>
      </c>
      <c r="C39" s="1">
        <v>0.84</v>
      </c>
      <c r="F39" s="1">
        <v>0.8</v>
      </c>
    </row>
    <row r="40" spans="1:6">
      <c r="A40">
        <v>1903</v>
      </c>
      <c r="B40" s="1">
        <v>0.9</v>
      </c>
      <c r="C40" s="1">
        <v>0.83</v>
      </c>
      <c r="F40" s="1">
        <v>0.8</v>
      </c>
    </row>
    <row r="41" spans="1:6">
      <c r="A41">
        <v>1904</v>
      </c>
      <c r="B41" s="1">
        <v>0.93</v>
      </c>
      <c r="C41" s="1">
        <v>0.84</v>
      </c>
      <c r="F41" s="1">
        <v>0.81</v>
      </c>
    </row>
    <row r="42" spans="1:6">
      <c r="A42">
        <v>1905</v>
      </c>
      <c r="B42" s="1">
        <v>0.94</v>
      </c>
      <c r="C42" s="1">
        <v>0.86</v>
      </c>
      <c r="D42" s="1">
        <v>0.83</v>
      </c>
      <c r="F42" s="1">
        <v>0.81</v>
      </c>
    </row>
    <row r="43" spans="1:6">
      <c r="A43">
        <v>1906</v>
      </c>
      <c r="B43" s="1">
        <v>0.95</v>
      </c>
      <c r="C43" s="1">
        <v>0.89</v>
      </c>
      <c r="F43" s="1">
        <v>0.82</v>
      </c>
    </row>
    <row r="44" spans="1:6">
      <c r="A44">
        <v>1907</v>
      </c>
      <c r="B44" s="1">
        <v>1</v>
      </c>
      <c r="C44" s="1">
        <v>0.92</v>
      </c>
      <c r="D44" s="1">
        <v>0.88</v>
      </c>
      <c r="F44" s="1">
        <v>0.85</v>
      </c>
    </row>
    <row r="45" spans="1:6">
      <c r="A45">
        <v>1908</v>
      </c>
      <c r="B45" s="1">
        <v>0.97</v>
      </c>
      <c r="C45" s="1">
        <v>0.93</v>
      </c>
      <c r="F45" s="1">
        <v>0.87</v>
      </c>
    </row>
    <row r="46" spans="1:6">
      <c r="A46">
        <v>1909</v>
      </c>
      <c r="B46" s="1">
        <v>0.97</v>
      </c>
      <c r="C46" s="1">
        <v>0.91</v>
      </c>
      <c r="D46" s="1">
        <v>0.88</v>
      </c>
      <c r="F46" s="1">
        <v>0.88</v>
      </c>
    </row>
    <row r="47" spans="1:6">
      <c r="A47">
        <v>1910</v>
      </c>
      <c r="B47" s="1">
        <v>0.96</v>
      </c>
      <c r="C47" s="1">
        <v>0.93</v>
      </c>
      <c r="F47" s="1">
        <v>0.89</v>
      </c>
    </row>
    <row r="48" spans="1:6">
      <c r="A48">
        <v>1911</v>
      </c>
      <c r="B48" s="1">
        <v>1</v>
      </c>
      <c r="C48" s="1">
        <v>0.95</v>
      </c>
      <c r="D48" s="1">
        <v>0.91</v>
      </c>
      <c r="F48" s="1">
        <v>0.9</v>
      </c>
    </row>
    <row r="49" spans="1:6">
      <c r="A49">
        <v>1912</v>
      </c>
      <c r="B49" s="1">
        <v>1.05</v>
      </c>
      <c r="C49" s="1">
        <v>1.02</v>
      </c>
      <c r="D49" s="1">
        <v>0.99</v>
      </c>
      <c r="F49" s="1">
        <v>0.94</v>
      </c>
    </row>
    <row r="50" spans="1:6">
      <c r="A50">
        <v>1913</v>
      </c>
      <c r="B50" s="1">
        <v>1</v>
      </c>
      <c r="C50" s="1">
        <v>1.01</v>
      </c>
      <c r="D50" s="1">
        <v>0.99</v>
      </c>
      <c r="F50" s="1">
        <v>0.97</v>
      </c>
    </row>
    <row r="51" spans="1:6">
      <c r="A51">
        <v>1914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</row>
    <row r="52" spans="1:6">
      <c r="A52">
        <v>1915</v>
      </c>
      <c r="B52" s="1">
        <v>1.43</v>
      </c>
      <c r="C52" s="1">
        <v>1.47</v>
      </c>
      <c r="E52" s="1">
        <v>1.34</v>
      </c>
      <c r="F52" s="1">
        <v>1.2</v>
      </c>
    </row>
    <row r="53" spans="1:6">
      <c r="A53">
        <v>1916</v>
      </c>
      <c r="B53" s="1">
        <v>1.62</v>
      </c>
      <c r="C53" s="1">
        <v>1.65</v>
      </c>
      <c r="E53" s="1">
        <v>1.58</v>
      </c>
      <c r="F53" s="1">
        <v>1.41</v>
      </c>
    </row>
    <row r="54" spans="1:6">
      <c r="A54">
        <v>1917</v>
      </c>
      <c r="B54" s="1">
        <v>1.86</v>
      </c>
      <c r="C54" s="1">
        <v>1.78</v>
      </c>
      <c r="E54" s="1">
        <v>1.73</v>
      </c>
      <c r="F54" s="1">
        <v>1.61</v>
      </c>
    </row>
    <row r="55" spans="1:6">
      <c r="A55">
        <v>1918</v>
      </c>
      <c r="F55" s="1">
        <v>1.86</v>
      </c>
    </row>
    <row r="56" spans="1:6">
      <c r="A56">
        <v>1919</v>
      </c>
      <c r="F56" s="1">
        <v>2.27</v>
      </c>
    </row>
    <row r="57" spans="1:6">
      <c r="A57">
        <v>1920</v>
      </c>
      <c r="F57" s="1">
        <v>2.63</v>
      </c>
    </row>
    <row r="58" spans="1:6">
      <c r="A58">
        <v>1921</v>
      </c>
      <c r="F58" s="1">
        <v>2.25</v>
      </c>
    </row>
    <row r="59" spans="1:6">
      <c r="A59">
        <v>1922</v>
      </c>
      <c r="F59" s="1">
        <v>1.99</v>
      </c>
    </row>
    <row r="60" spans="1:6">
      <c r="A60">
        <v>1923</v>
      </c>
      <c r="F60" s="1">
        <v>2.0699999999999998</v>
      </c>
    </row>
    <row r="61" spans="1:6">
      <c r="A61">
        <v>1924</v>
      </c>
      <c r="F61" s="1">
        <v>2.19</v>
      </c>
    </row>
    <row r="62" spans="1:6">
      <c r="A62">
        <v>1925</v>
      </c>
    </row>
    <row r="63" spans="1:6">
      <c r="A63">
        <v>1926</v>
      </c>
    </row>
    <row r="64" spans="1:6">
      <c r="A64">
        <v>1927</v>
      </c>
    </row>
    <row r="65" spans="1:1">
      <c r="A65">
        <v>1928</v>
      </c>
    </row>
    <row r="66" spans="1:1">
      <c r="A66">
        <v>1929</v>
      </c>
    </row>
    <row r="67" spans="1:1">
      <c r="A67">
        <v>1930</v>
      </c>
    </row>
    <row r="68" spans="1:1">
      <c r="A68">
        <v>1931</v>
      </c>
    </row>
    <row r="69" spans="1:1">
      <c r="A69">
        <v>1932</v>
      </c>
    </row>
    <row r="70" spans="1:1">
      <c r="A70">
        <v>1933</v>
      </c>
    </row>
    <row r="71" spans="1:1">
      <c r="A71">
        <v>1934</v>
      </c>
    </row>
    <row r="72" spans="1:1">
      <c r="A72">
        <v>1935</v>
      </c>
    </row>
    <row r="73" spans="1:1">
      <c r="A73">
        <v>1936</v>
      </c>
    </row>
    <row r="74" spans="1:1">
      <c r="A74">
        <v>1937</v>
      </c>
    </row>
    <row r="75" spans="1:1">
      <c r="A75">
        <v>1938</v>
      </c>
    </row>
    <row r="76" spans="1:1">
      <c r="A76">
        <v>1939</v>
      </c>
    </row>
    <row r="77" spans="1:1">
      <c r="A77">
        <v>1940</v>
      </c>
    </row>
    <row r="78" spans="1:1">
      <c r="A78">
        <v>1941</v>
      </c>
    </row>
    <row r="79" spans="1:1">
      <c r="A79">
        <v>1942</v>
      </c>
    </row>
    <row r="80" spans="1:1">
      <c r="A80">
        <v>1943</v>
      </c>
    </row>
    <row r="81" spans="1:1">
      <c r="A81">
        <v>1944</v>
      </c>
    </row>
    <row r="82" spans="1:1">
      <c r="A82">
        <v>1945</v>
      </c>
    </row>
    <row r="83" spans="1:1">
      <c r="A83">
        <v>1946</v>
      </c>
    </row>
    <row r="84" spans="1:1">
      <c r="A84">
        <v>1947</v>
      </c>
    </row>
    <row r="85" spans="1:1">
      <c r="A85">
        <v>1948</v>
      </c>
    </row>
    <row r="86" spans="1:1">
      <c r="A86">
        <v>1949</v>
      </c>
    </row>
    <row r="87" spans="1:1">
      <c r="A87">
        <v>1950</v>
      </c>
    </row>
    <row r="88" spans="1:1">
      <c r="A88">
        <v>1951</v>
      </c>
    </row>
    <row r="89" spans="1:1">
      <c r="A89">
        <v>1952</v>
      </c>
    </row>
    <row r="90" spans="1:1">
      <c r="A90">
        <v>1953</v>
      </c>
    </row>
    <row r="91" spans="1:1">
      <c r="A91">
        <v>1954</v>
      </c>
    </row>
    <row r="92" spans="1:1">
      <c r="A92">
        <v>1955</v>
      </c>
    </row>
    <row r="93" spans="1:1">
      <c r="A93">
        <v>1956</v>
      </c>
    </row>
    <row r="94" spans="1:1">
      <c r="A94">
        <v>1957</v>
      </c>
    </row>
    <row r="95" spans="1:1">
      <c r="A95">
        <v>1958</v>
      </c>
    </row>
    <row r="96" spans="1:1">
      <c r="A96">
        <v>1959</v>
      </c>
    </row>
    <row r="97" spans="1:1">
      <c r="A97">
        <v>1960</v>
      </c>
    </row>
    <row r="98" spans="1:1">
      <c r="A98">
        <v>1961</v>
      </c>
    </row>
    <row r="99" spans="1:1">
      <c r="A99">
        <v>1962</v>
      </c>
    </row>
    <row r="100" spans="1:1">
      <c r="A100">
        <v>1963</v>
      </c>
    </row>
    <row r="101" spans="1:1">
      <c r="A101">
        <v>1964</v>
      </c>
    </row>
    <row r="102" spans="1:1">
      <c r="A102">
        <v>1965</v>
      </c>
    </row>
    <row r="103" spans="1:1">
      <c r="A103">
        <v>1966</v>
      </c>
    </row>
    <row r="104" spans="1:1">
      <c r="A104">
        <v>1967</v>
      </c>
    </row>
    <row r="105" spans="1:1">
      <c r="A105">
        <v>1968</v>
      </c>
    </row>
    <row r="106" spans="1:1">
      <c r="A106">
        <v>1969</v>
      </c>
    </row>
    <row r="107" spans="1:1">
      <c r="A107">
        <v>1970</v>
      </c>
    </row>
    <row r="108" spans="1:1">
      <c r="A108">
        <v>1971</v>
      </c>
    </row>
    <row r="109" spans="1:1">
      <c r="A109">
        <v>1972</v>
      </c>
    </row>
    <row r="110" spans="1:1">
      <c r="A110">
        <v>1973</v>
      </c>
    </row>
    <row r="111" spans="1:1">
      <c r="A111">
        <v>1974</v>
      </c>
    </row>
    <row r="112" spans="1:1">
      <c r="A112">
        <v>1975</v>
      </c>
    </row>
    <row r="113" spans="1:1">
      <c r="A113">
        <v>1976</v>
      </c>
    </row>
    <row r="114" spans="1:1">
      <c r="A114">
        <v>1977</v>
      </c>
    </row>
    <row r="115" spans="1:1">
      <c r="A115">
        <v>1978</v>
      </c>
    </row>
    <row r="116" spans="1:1">
      <c r="A116">
        <v>1979</v>
      </c>
    </row>
    <row r="117" spans="1:1">
      <c r="A117">
        <v>1980</v>
      </c>
    </row>
    <row r="118" spans="1:1">
      <c r="A118">
        <v>1981</v>
      </c>
    </row>
    <row r="119" spans="1:1">
      <c r="A119">
        <v>1982</v>
      </c>
    </row>
    <row r="120" spans="1:1">
      <c r="A120">
        <v>1983</v>
      </c>
    </row>
    <row r="121" spans="1:1">
      <c r="A121">
        <v>1984</v>
      </c>
    </row>
    <row r="122" spans="1:1">
      <c r="A122">
        <v>1985</v>
      </c>
    </row>
    <row r="123" spans="1:1">
      <c r="A123">
        <v>1986</v>
      </c>
    </row>
    <row r="124" spans="1:1">
      <c r="A124">
        <v>1987</v>
      </c>
    </row>
    <row r="125" spans="1:1">
      <c r="A125">
        <v>1988</v>
      </c>
    </row>
    <row r="126" spans="1:1">
      <c r="A126">
        <v>1989</v>
      </c>
    </row>
    <row r="127" spans="1:1">
      <c r="A127">
        <v>1990</v>
      </c>
    </row>
    <row r="128" spans="1:1">
      <c r="A128">
        <v>1991</v>
      </c>
    </row>
    <row r="129" spans="1:1">
      <c r="A129">
        <v>1992</v>
      </c>
    </row>
    <row r="130" spans="1:1">
      <c r="A130">
        <v>1993</v>
      </c>
    </row>
    <row r="131" spans="1:1">
      <c r="A131">
        <v>1994</v>
      </c>
    </row>
    <row r="132" spans="1:1">
      <c r="A132">
        <v>1995</v>
      </c>
    </row>
    <row r="133" spans="1:1">
      <c r="A133">
        <v>1996</v>
      </c>
    </row>
    <row r="134" spans="1:1">
      <c r="A134">
        <v>1997</v>
      </c>
    </row>
    <row r="135" spans="1:1">
      <c r="A135">
        <v>1998</v>
      </c>
    </row>
    <row r="136" spans="1:1">
      <c r="A136">
        <v>1999</v>
      </c>
    </row>
    <row r="137" spans="1:1">
      <c r="A137">
        <v>2000</v>
      </c>
    </row>
    <row r="138" spans="1:1">
      <c r="A138">
        <v>2001</v>
      </c>
    </row>
    <row r="139" spans="1:1">
      <c r="A139">
        <v>2002</v>
      </c>
    </row>
    <row r="140" spans="1:1">
      <c r="A140">
        <v>2003</v>
      </c>
    </row>
    <row r="141" spans="1:1">
      <c r="A141">
        <v>2004</v>
      </c>
    </row>
    <row r="142" spans="1:1">
      <c r="A142">
        <v>2005</v>
      </c>
    </row>
    <row r="143" spans="1:1">
      <c r="A143">
        <v>2006</v>
      </c>
    </row>
    <row r="144" spans="1:1">
      <c r="A144">
        <v>2007</v>
      </c>
    </row>
    <row r="145" spans="1:1">
      <c r="A145">
        <v>2008</v>
      </c>
    </row>
    <row r="146" spans="1:1">
      <c r="A146">
        <v>2009</v>
      </c>
    </row>
    <row r="147" spans="1:1">
      <c r="A147">
        <v>2010</v>
      </c>
    </row>
    <row r="148" spans="1:1">
      <c r="A148">
        <v>2011</v>
      </c>
    </row>
    <row r="149" spans="1:1">
      <c r="A149">
        <v>2012</v>
      </c>
    </row>
    <row r="150" spans="1:1">
      <c r="A150">
        <v>2013</v>
      </c>
    </row>
    <row r="151" spans="1:1">
      <c r="A151">
        <v>2014</v>
      </c>
    </row>
    <row r="152" spans="1:1">
      <c r="A152">
        <v>2015</v>
      </c>
    </row>
    <row r="153" spans="1:1">
      <c r="A153">
        <v>2016</v>
      </c>
    </row>
    <row r="154" spans="1:1">
      <c r="A154">
        <v>2017</v>
      </c>
    </row>
    <row r="155" spans="1:1">
      <c r="A155">
        <v>2018</v>
      </c>
    </row>
    <row r="156" spans="1:1">
      <c r="A156">
        <v>2019</v>
      </c>
    </row>
    <row r="157" spans="1:1">
      <c r="A157">
        <v>2020</v>
      </c>
    </row>
    <row r="158" spans="1:1">
      <c r="A158">
        <v>2021</v>
      </c>
    </row>
    <row r="159" spans="1:1">
      <c r="A159">
        <v>2022</v>
      </c>
    </row>
    <row r="160" spans="1:1">
      <c r="A160">
        <v>2023</v>
      </c>
    </row>
    <row r="161" spans="1:1">
      <c r="A161">
        <v>2024</v>
      </c>
    </row>
    <row r="162" spans="1:1">
      <c r="A162">
        <v>2025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34CE-4F7A-4BF6-95EE-43EE85187EF0}">
  <dimension ref="A1"/>
  <sheetViews>
    <sheetView workbookViewId="0">
      <selection activeCell="H32" sqref="H32"/>
    </sheetView>
  </sheetViews>
  <sheetFormatPr defaultRowHeight="14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Lønstatistik</vt:lpstr>
      <vt:lpstr>Forbrugerprisindeks</vt:lpstr>
      <vt:lpstr>Boligstørrelse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Lq</dc:creator>
  <cp:lastModifiedBy>Matias Lq</cp:lastModifiedBy>
  <dcterms:created xsi:type="dcterms:W3CDTF">2025-11-28T08:46:59Z</dcterms:created>
  <dcterms:modified xsi:type="dcterms:W3CDTF">2025-11-28T22:46:06Z</dcterms:modified>
</cp:coreProperties>
</file>